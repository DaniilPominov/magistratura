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Лист1" sheetId="1" state="visible" r:id="rId1"/>
    <sheet name="вариант от минимальонй зп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<sst xmlns="http://schemas.openxmlformats.org/spreadsheetml/2006/main" count="17" uniqueCount="17">
  <si>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Должность</t>
  </si>
  <si>
    <t xml:space="preserve">Квалиф разряд</t>
  </si>
  <si>
    <t xml:space="preserve">количество штат едениц</t>
  </si>
  <si>
    <t xml:space="preserve">должность оклад</t>
  </si>
  <si>
    <t xml:space="preserve">район кэоф</t>
  </si>
  <si>
    <t xml:space="preserve">сев доб</t>
  </si>
  <si>
    <t>прочее</t>
  </si>
  <si>
    <t xml:space="preserve">итого на одну ставку зп</t>
  </si>
  <si>
    <t xml:space="preserve">фонд зп</t>
  </si>
  <si>
    <t xml:space="preserve">Административно-управленческий персонал</t>
  </si>
  <si>
    <t>директор</t>
  </si>
  <si>
    <t>-</t>
  </si>
  <si>
    <t>бухгалтер</t>
  </si>
  <si>
    <t>сисадмин</t>
  </si>
  <si>
    <t>уборщик</t>
  </si>
  <si>
    <t>охрана</t>
  </si>
  <si>
    <t xml:space="preserve">админ зала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</si>
</sst>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0" numFmtId="0" xfId="0" applyFill="1"/>
    <xf fontId="0" fillId="0" borderId="0" numFmtId="2" xfId="0" applyNumberFormat="1"/>
    <xf fontId="0" fillId="0" borderId="0" numFmtId="2" xfId="0" applyNumberFormat="1"/>
    <xf fontId="0" fillId="0" borderId="0" numFmtId="3" xfId="0" applyNumberFormat="1"/>
    <xf fontId="1" fillId="2" borderId="0" numFmtId="0" xfId="0" applyFont="1" applyFill="1"/>
    <xf fontId="0" fillId="0" borderId="0" numFmtId="0" xfId="0">
      <protection hidden="0" locked="1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8515625"/>
    <col customWidth="1" min="4" max="4" width="15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>
      <c r="A2" s="1" t="s">
        <v>9</v>
      </c>
      <c r="C2" s="2"/>
    </row>
    <row r="3" ht="14.25">
      <c r="A3" t="s">
        <v>10</v>
      </c>
      <c r="B3" t="s">
        <v>11</v>
      </c>
      <c r="C3" s="3">
        <v>1</v>
      </c>
      <c r="D3" s="4">
        <v>100000</v>
      </c>
      <c r="E3">
        <f>D3*0.3</f>
        <v>30000</v>
      </c>
      <c r="F3">
        <f>D3*0.2</f>
        <v>20000</v>
      </c>
      <c r="G3">
        <v>0</v>
      </c>
      <c r="H3" s="4">
        <f>SUM(D3:F3)</f>
        <v>150000</v>
      </c>
      <c r="I3">
        <f>H3*12*C3</f>
        <v>1800000</v>
      </c>
    </row>
    <row r="4" ht="14.25">
      <c r="A4" t="s">
        <v>12</v>
      </c>
      <c r="C4" s="2">
        <v>0.1875</v>
      </c>
      <c r="D4" s="4">
        <v>20000</v>
      </c>
      <c r="E4">
        <f>D4*0.3</f>
        <v>6000</v>
      </c>
      <c r="F4">
        <f>D4*0.2</f>
        <v>4000</v>
      </c>
      <c r="G4">
        <v>0</v>
      </c>
      <c r="H4" s="4">
        <f>SUM(D4:F4)</f>
        <v>30000</v>
      </c>
      <c r="I4" s="4">
        <f>H4*12*C4</f>
        <v>67500</v>
      </c>
    </row>
    <row r="5" ht="14.25">
      <c r="A5" s="5"/>
      <c r="C5" s="2"/>
      <c r="E5">
        <f>D5*0.3</f>
        <v>0</v>
      </c>
      <c r="F5">
        <f>D5*0.2</f>
        <v>0</v>
      </c>
      <c r="I5" s="4">
        <f>SUM(I3:I4)</f>
        <v>1867500</v>
      </c>
    </row>
    <row r="6" ht="14.25">
      <c r="A6" t="s">
        <v>13</v>
      </c>
      <c r="C6" s="2">
        <v>4.5</v>
      </c>
      <c r="D6">
        <v>40000</v>
      </c>
      <c r="E6">
        <f>D6*0.3</f>
        <v>12000</v>
      </c>
      <c r="F6">
        <f>D6*0.2</f>
        <v>8000</v>
      </c>
      <c r="G6">
        <v>0</v>
      </c>
      <c r="H6">
        <f>SUM(D6:F6)</f>
        <v>60000</v>
      </c>
      <c r="I6" s="4">
        <f>H6*12*C6</f>
        <v>3240000</v>
      </c>
    </row>
    <row r="7" ht="14.25">
      <c r="A7" s="1"/>
      <c r="C7" s="2"/>
      <c r="E7">
        <f>D7*0.3</f>
        <v>0</v>
      </c>
      <c r="F7">
        <f>D7*0.2</f>
        <v>0</v>
      </c>
      <c r="H7">
        <f>SUM(D7:F7)</f>
        <v>0</v>
      </c>
      <c r="I7" s="4">
        <f>SUM(I5:I6)</f>
        <v>5107500</v>
      </c>
    </row>
    <row r="8" ht="14.25">
      <c r="A8" t="s">
        <v>14</v>
      </c>
      <c r="C8" s="2">
        <v>0.29999999999999999</v>
      </c>
      <c r="D8">
        <v>19000</v>
      </c>
      <c r="E8">
        <f>D8*0.3</f>
        <v>5700</v>
      </c>
      <c r="F8">
        <f>D8*0.2</f>
        <v>3800</v>
      </c>
      <c r="H8">
        <f>SUM(D8:F8)</f>
        <v>28500</v>
      </c>
      <c r="I8" s="4">
        <f>H8*12*C8</f>
        <v>102600</v>
      </c>
    </row>
    <row r="9" ht="14.25">
      <c r="A9" t="s">
        <v>15</v>
      </c>
      <c r="C9" s="2">
        <v>4.5</v>
      </c>
      <c r="D9">
        <v>20000</v>
      </c>
      <c r="E9">
        <f>D9*0.3</f>
        <v>6000</v>
      </c>
      <c r="F9">
        <f>D9*0.2</f>
        <v>4000</v>
      </c>
      <c r="H9">
        <f>SUM(D9:F9)</f>
        <v>30000</v>
      </c>
      <c r="I9" s="4">
        <f>H9*12*C9</f>
        <v>1620000</v>
      </c>
    </row>
    <row r="10" ht="14.25">
      <c r="C10" s="2"/>
      <c r="I10" s="4">
        <f>SUM(I8:I9)</f>
        <v>1722600</v>
      </c>
    </row>
    <row r="11" ht="14.25">
      <c r="A11" s="1"/>
      <c r="C11"/>
      <c r="I11" s="4">
        <f>SUM(I10,I7)</f>
        <v>6830100</v>
      </c>
    </row>
    <row r="12" ht="14.25">
      <c r="C12"/>
      <c r="I12" s="4"/>
    </row>
    <row r="13" ht="14.25">
      <c r="C13"/>
    </row>
    <row r="14" ht="14.25">
      <c r="C14"/>
    </row>
    <row r="15" ht="14.25">
      <c r="C15"/>
    </row>
    <row r="16" ht="14.25">
      <c r="C16"/>
    </row>
    <row r="17" ht="14.25">
      <c r="C1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>
      <c r="A2" s="1" t="s">
        <v>9</v>
      </c>
      <c r="B2"/>
      <c r="C2" s="2"/>
      <c r="D2" s="6"/>
      <c r="E2" s="6"/>
      <c r="F2" s="6"/>
      <c r="G2" s="6"/>
      <c r="H2" s="6"/>
      <c r="I2" s="6"/>
    </row>
    <row r="3" ht="14.25">
      <c r="A3" t="s">
        <v>10</v>
      </c>
      <c r="B3" t="s">
        <v>11</v>
      </c>
      <c r="C3" s="2">
        <v>1</v>
      </c>
      <c r="D3" s="4">
        <v>22000</v>
      </c>
      <c r="E3" s="6">
        <f>D3*0</f>
        <v>0</v>
      </c>
      <c r="F3" s="6">
        <f>D3*0</f>
        <v>0</v>
      </c>
      <c r="G3" s="6">
        <v>0</v>
      </c>
      <c r="H3" s="4">
        <f>SUM(D3:F3)</f>
        <v>22000</v>
      </c>
      <c r="I3" s="6">
        <f>C3*12*H3</f>
        <v>264000</v>
      </c>
      <c r="J3">
        <f>I3*0.32</f>
        <v>84480</v>
      </c>
      <c r="K3">
        <f>I3+J3</f>
        <v>348480</v>
      </c>
    </row>
    <row r="4" ht="14.25">
      <c r="A4" t="s">
        <v>12</v>
      </c>
      <c r="B4" s="6"/>
      <c r="C4" s="2">
        <v>0.19</v>
      </c>
      <c r="D4" s="4">
        <v>20000</v>
      </c>
      <c r="E4" s="6">
        <f>D4*0.3</f>
        <v>6000</v>
      </c>
      <c r="F4" s="6">
        <f>D4*0.2</f>
        <v>4000</v>
      </c>
      <c r="G4" s="6">
        <v>0</v>
      </c>
      <c r="H4" s="4">
        <f>SUM(D4:F4)</f>
        <v>30000</v>
      </c>
      <c r="I4" s="6">
        <f>C4*12*H4</f>
        <v>68400.000000000015</v>
      </c>
      <c r="J4">
        <f>I4*0.32</f>
        <v>21888.000000000004</v>
      </c>
      <c r="K4">
        <f>I4+J4</f>
        <v>90288.000000000015</v>
      </c>
    </row>
    <row r="5" ht="14.25">
      <c r="A5" s="5"/>
      <c r="B5" s="6"/>
      <c r="C5" s="2"/>
      <c r="D5" s="6"/>
      <c r="E5" s="6"/>
      <c r="F5" s="6"/>
      <c r="G5" s="6"/>
      <c r="H5" s="6"/>
      <c r="I5" s="6"/>
      <c r="J5">
        <f>I5*0.32</f>
        <v>0</v>
      </c>
      <c r="K5">
        <f>I5+J5</f>
        <v>0</v>
      </c>
    </row>
    <row r="6" ht="14.25">
      <c r="A6" t="s">
        <v>13</v>
      </c>
      <c r="B6" s="6"/>
      <c r="C6" s="2">
        <v>4.5</v>
      </c>
      <c r="D6" s="6">
        <v>21000</v>
      </c>
      <c r="E6" s="6">
        <f>D6*0</f>
        <v>0</v>
      </c>
      <c r="F6" s="6">
        <f>D6*0</f>
        <v>0</v>
      </c>
      <c r="G6" s="6"/>
      <c r="H6" s="6">
        <f>SUM(D6:F6)</f>
        <v>21000</v>
      </c>
      <c r="I6" s="6">
        <f>C6*12*H6</f>
        <v>1134000</v>
      </c>
      <c r="J6">
        <f>I6*0.32</f>
        <v>362880</v>
      </c>
      <c r="K6">
        <f>I6+J6</f>
        <v>1496880</v>
      </c>
    </row>
    <row r="7" ht="14.25">
      <c r="A7" s="7" t="s">
        <v>16</v>
      </c>
      <c r="B7" s="6"/>
      <c r="C7" s="2">
        <v>4.5</v>
      </c>
      <c r="D7" s="6">
        <v>21000</v>
      </c>
      <c r="E7" s="6">
        <f>D7*0</f>
        <v>0</v>
      </c>
      <c r="F7" s="6">
        <f>D7*0</f>
        <v>0</v>
      </c>
      <c r="G7" s="6"/>
      <c r="H7" s="6">
        <f>SUM(D7:F7)</f>
        <v>21000</v>
      </c>
      <c r="I7" s="6">
        <f>C7*12*H7</f>
        <v>1134000</v>
      </c>
      <c r="J7">
        <f>I7*0.32</f>
        <v>362880</v>
      </c>
      <c r="K7">
        <f>I7+J7</f>
        <v>1496880</v>
      </c>
    </row>
    <row r="8" ht="14.25">
      <c r="I8" s="6"/>
      <c r="J8">
        <f>I8*0.32</f>
        <v>0</v>
      </c>
      <c r="K8">
        <f>I8+J8</f>
        <v>0</v>
      </c>
    </row>
    <row r="9" ht="14.25">
      <c r="A9" t="s">
        <v>14</v>
      </c>
      <c r="B9" s="6"/>
      <c r="C9" s="2">
        <v>0.29999999999999999</v>
      </c>
      <c r="D9" s="6">
        <v>19000</v>
      </c>
      <c r="E9" s="6">
        <f>D9*0.3</f>
        <v>5700</v>
      </c>
      <c r="F9" s="6">
        <f>D9*0.2</f>
        <v>3800</v>
      </c>
      <c r="G9" s="6"/>
      <c r="H9" s="6">
        <f>SUM(D9:F9)</f>
        <v>28500</v>
      </c>
      <c r="I9" s="6">
        <f>C9*12*H9</f>
        <v>102599.99999999999</v>
      </c>
      <c r="J9">
        <f>I9*0.32</f>
        <v>32831.999999999993</v>
      </c>
      <c r="K9">
        <f>I9+J9</f>
        <v>135431.99999999997</v>
      </c>
    </row>
    <row r="10" ht="14.25">
      <c r="A10" t="s">
        <v>15</v>
      </c>
      <c r="B10" s="6"/>
      <c r="C10" s="2">
        <v>4.5</v>
      </c>
      <c r="D10" s="6">
        <v>20000</v>
      </c>
      <c r="E10" s="6">
        <f>D10*0.3</f>
        <v>6000</v>
      </c>
      <c r="F10" s="6">
        <f>D10*0.2</f>
        <v>4000</v>
      </c>
      <c r="G10" s="6"/>
      <c r="H10" s="6">
        <f>SUM(D10:F10)</f>
        <v>30000</v>
      </c>
      <c r="I10" s="6">
        <f>C10*12*H10</f>
        <v>1620000</v>
      </c>
      <c r="J10">
        <f>I10*0.32</f>
        <v>518400</v>
      </c>
      <c r="K10">
        <f>I10+J10</f>
        <v>2138400</v>
      </c>
    </row>
    <row r="11" ht="14.25">
      <c r="A11" s="1"/>
      <c r="B11" s="6"/>
      <c r="C11" s="6"/>
      <c r="D11" s="6"/>
      <c r="E11" s="6"/>
      <c r="F11" s="6"/>
      <c r="G11" s="6"/>
      <c r="H11" s="6"/>
      <c r="I11" s="4">
        <f>SUM(I3:I10)</f>
        <v>4323000</v>
      </c>
      <c r="J11" s="4">
        <f>SUM(J3:J10)</f>
        <v>1383360</v>
      </c>
      <c r="K11" s="4">
        <f>SUM(K3:K10)</f>
        <v>5706360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2026-10-06T12:55:29Z</dcterms:modified>
</cp:coreProperties>
</file>